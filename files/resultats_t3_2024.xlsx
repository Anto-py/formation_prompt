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 T3" sheetId="1" state="visible" r:id="rId3"/>
    <sheet name="Ventes par catégorie" sheetId="2" state="visible" r:id="rId4"/>
    <sheet name="Évolution mensuelle" sheetId="3" state="visible" r:id="rId5"/>
    <sheet name="Top clients" sheetId="4" state="visible" r:id="rId6"/>
    <sheet name="Notes &amp; context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<sst xmlns="http://schemas.openxmlformats.org/spreadsheetml/2006/main" count="90" uniqueCount="88">
  <si>
    <t xml:space="preserve">RÉSULTATS TRIMESTRIELS - SERVICE COMMERCIAL</t>
  </si>
  <si>
    <t xml:space="preserve">SportPlus Distribution - T3 2024 (Juillet - Septembre)</t>
  </si>
  <si>
    <t xml:space="preserve">CHIFFRES CLÉS</t>
  </si>
  <si>
    <t xml:space="preserve">Indicateur</t>
  </si>
  <si>
    <t xml:space="preserve">Objectif</t>
  </si>
  <si>
    <t xml:space="preserve">Réalisé</t>
  </si>
  <si>
    <t xml:space="preserve">Écart</t>
  </si>
  <si>
    <t xml:space="preserve">% Atteinte</t>
  </si>
  <si>
    <t xml:space="preserve">CA Total (€)</t>
  </si>
  <si>
    <t xml:space="preserve">Nb commandes</t>
  </si>
  <si>
    <t xml:space="preserve">Panier moyen (€)</t>
  </si>
  <si>
    <t xml:space="preserve">Nouveaux clients</t>
  </si>
  <si>
    <t xml:space="preserve">Taux fidélisation</t>
  </si>
  <si>
    <t xml:space="preserve">75%</t>
  </si>
  <si>
    <t xml:space="preserve">78%</t>
  </si>
  <si>
    <t xml:space="preserve">VENTES PAR CATÉGORIE DE PRODUITS - T3 2024</t>
  </si>
  <si>
    <t xml:space="preserve">Catégorie</t>
  </si>
  <si>
    <t xml:space="preserve">Obj. Juillet</t>
  </si>
  <si>
    <t xml:space="preserve">Réel Juillet</t>
  </si>
  <si>
    <t xml:space="preserve">Obj. Août</t>
  </si>
  <si>
    <t xml:space="preserve">Réel Août</t>
  </si>
  <si>
    <t xml:space="preserve">Obj. Sept.</t>
  </si>
  <si>
    <t xml:space="preserve">Réel Sept.</t>
  </si>
  <si>
    <t xml:space="preserve">Total Obj.</t>
  </si>
  <si>
    <t xml:space="preserve">Total Réel</t>
  </si>
  <si>
    <t xml:space="preserve">% Obj</t>
  </si>
  <si>
    <t xml:space="preserve">Textile Running</t>
  </si>
  <si>
    <t xml:space="preserve">Chaussures Sport</t>
  </si>
  <si>
    <t xml:space="preserve">Équipement Fitness</t>
  </si>
  <si>
    <t xml:space="preserve">Accessoires Outdoor</t>
  </si>
  <si>
    <t xml:space="preserve">Nutrition sportive</t>
  </si>
  <si>
    <t xml:space="preserve">Électronique sport</t>
  </si>
  <si>
    <t xml:space="preserve">TOTAL</t>
  </si>
  <si>
    <t xml:space="preserve">ÉVOLUTION DES VENTES - COMPARATIF N/N-1</t>
  </si>
  <si>
    <t xml:space="preserve">Mois</t>
  </si>
  <si>
    <t xml:space="preserve">CA 2023</t>
  </si>
  <si>
    <t xml:space="preserve">CA 2024</t>
  </si>
  <si>
    <t xml:space="preserve">Évolution €</t>
  </si>
  <si>
    <t xml:space="preserve">Évolution %</t>
  </si>
  <si>
    <t xml:space="preserve">Juillet</t>
  </si>
  <si>
    <t xml:space="preserve">Août</t>
  </si>
  <si>
    <t xml:space="preserve">Septembre</t>
  </si>
  <si>
    <t xml:space="preserve">TOTAL T3</t>
  </si>
  <si>
    <t xml:space="preserve">TOP 10 CLIENTS - T3 2024</t>
  </si>
  <si>
    <t xml:space="preserve">Rang</t>
  </si>
  <si>
    <t xml:space="preserve">Client</t>
  </si>
  <si>
    <t xml:space="preserve">CA T3</t>
  </si>
  <si>
    <t xml:space="preserve">Panier moyen</t>
  </si>
  <si>
    <t xml:space="preserve">Évol. vs T2</t>
  </si>
  <si>
    <t xml:space="preserve">Décathlon Pro Orléans</t>
  </si>
  <si>
    <t xml:space="preserve">+12%</t>
  </si>
  <si>
    <t xml:space="preserve">Fitness Park Centre</t>
  </si>
  <si>
    <t xml:space="preserve">+8%</t>
  </si>
  <si>
    <t xml:space="preserve">Club Athlé Chartres</t>
  </si>
  <si>
    <t xml:space="preserve">+23%</t>
  </si>
  <si>
    <t xml:space="preserve">CrossFit Blois</t>
  </si>
  <si>
    <t xml:space="preserve">-5%</t>
  </si>
  <si>
    <t xml:space="preserve">Running Store Tours</t>
  </si>
  <si>
    <t xml:space="preserve">+15%</t>
  </si>
  <si>
    <t xml:space="preserve">Gymnase Municipal Lucé</t>
  </si>
  <si>
    <t xml:space="preserve">Nouveau</t>
  </si>
  <si>
    <t xml:space="preserve">ASPTT Bourges</t>
  </si>
  <si>
    <t xml:space="preserve">+3%</t>
  </si>
  <si>
    <t xml:space="preserve">Tennis Club Vendôme</t>
  </si>
  <si>
    <t xml:space="preserve">-8%</t>
  </si>
  <si>
    <t xml:space="preserve">Piscine Olympique 37</t>
  </si>
  <si>
    <t xml:space="preserve">+45%</t>
  </si>
  <si>
    <t xml:space="preserve">Sporting Dreux</t>
  </si>
  <si>
    <t xml:space="preserve">+7%</t>
  </si>
  <si>
    <t xml:space="preserve">ÉLÉMENTS DE CONTEXTE - À MENTIONNER EN PRÉSENTATION</t>
  </si>
  <si>
    <t xml:space="preserve">✅ POINTS POSITIFS</t>
  </si>
  <si>
    <t xml:space="preserve">- Dépassement objectif CA : +5,6% vs objectif</t>
  </si>
  <si>
    <t xml:space="preserve">- Forte croissance en septembre (+21% vs 2023) grâce à la rentrée sportive</t>
  </si>
  <si>
    <t xml:space="preserve">- Acquisition de 23 nouveaux clients au-delà de l'objectif</t>
  </si>
  <si>
    <t xml:space="preserve">- Catégorie Outdoor : +18% grâce aux randonneurs post-été</t>
  </si>
  <si>
    <t xml:space="preserve">⚠️ POINTS DE VIGILANCE</t>
  </si>
  <si>
    <t xml:space="preserve">- Chaussures Sport : sous-objectif en juillet-août (-8%)</t>
  </si>
  <si>
    <t xml:space="preserve">- Électronique sport : ventes décevantes (-15% vs objectif)</t>
  </si>
  <si>
    <t xml:space="preserve">- Panier moyen en baisse : 164€ vs 173€ objectif (-5%)</t>
  </si>
  <si>
    <t xml:space="preserve">- Client Tennis Club Vendôme : baisse de commandes (-8%)</t>
  </si>
  <si>
    <t xml:space="preserve">📈 ACTIONS T4</t>
  </si>
  <si>
    <t xml:space="preserve">- Promotion chaussures running pour les soldes d'hiver</t>
  </si>
  <si>
    <t xml:space="preserve">- Partenariat avec 3 nouvelles salles de fitness</t>
  </si>
  <si>
    <t xml:space="preserve">- Objectif : récupérer le client Tennis Club Vendôme</t>
  </si>
  <si>
    <t xml:space="preserve">📊 OBJECTIFS T4</t>
  </si>
  <si>
    <t xml:space="preserve">- CA : 520 000 € (+8% vs T4 2023)</t>
  </si>
  <si>
    <t xml:space="preserve">- Nouveaux clients : 45</t>
  </si>
  <si>
    <t xml:space="preserve">- Panier moyen cible : 175 €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</si>
</sst>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&quot; €&quot;"/>
    <numFmt numFmtId="166" formatCode="General"/>
    <numFmt numFmtId="167" formatCode="0.0%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2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4"/>
      <name val="Cambria"/>
      <family val="0"/>
      <charset val="1"/>
    </font>
    <font>
      <b val="true"/>
      <sz val="11"/>
      <name val="Cambria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1565C0"/>
      </patternFill>
    </fill>
    <fill>
      <patternFill patternType="solid">
        <fgColor rgb="FF2E7D32"/>
        <bgColor rgb="FF008000"/>
      </patternFill>
    </fill>
    <fill>
      <patternFill patternType="solid">
        <fgColor rgb="FF1565C0"/>
        <bgColor rgb="FF4472C4"/>
      </patternFill>
    </fill>
    <fill>
      <patternFill patternType="solid">
        <fgColor rgb="FF7B1FA2"/>
        <bgColor rgb="FF800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B1FA2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1565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customFormat="false" ht="15" hidden="false" customHeight="false" outlineLevel="0" collapsed="false">
      <c r="A6" s="0" t="s">
        <v>8</v>
      </c>
      <c r="B6" s="5" t="n">
        <v>485000</v>
      </c>
      <c r="C6" s="5" t="n">
        <v>512340</v>
      </c>
      <c r="D6" s="6" t="n">
        <f aca="false">C6-B6</f>
        <v>27340</v>
      </c>
      <c r="E6" s="7" t="n">
        <f aca="false">C6/B6</f>
        <v>1.05637113402062</v>
      </c>
    </row>
    <row r="7" customFormat="false" ht="15" hidden="false" customHeight="false" outlineLevel="0" collapsed="false">
      <c r="A7" s="0" t="s">
        <v>9</v>
      </c>
      <c r="B7" s="5" t="n">
        <v>2800</v>
      </c>
      <c r="C7" s="5" t="n">
        <v>3124</v>
      </c>
      <c r="D7" s="6" t="n">
        <f aca="false">C7-B7</f>
        <v>324</v>
      </c>
      <c r="E7" s="7" t="n">
        <f aca="false">C7/B7</f>
        <v>1.11571428571429</v>
      </c>
    </row>
    <row r="8" customFormat="false" ht="15" hidden="false" customHeight="false" outlineLevel="0" collapsed="false">
      <c r="A8" s="0" t="s">
        <v>10</v>
      </c>
      <c r="B8" s="0" t="n">
        <v>173</v>
      </c>
      <c r="C8" s="0" t="n">
        <v>164</v>
      </c>
      <c r="D8" s="0" t="n">
        <f aca="false">C8-B8</f>
        <v>-9</v>
      </c>
      <c r="E8" s="7" t="n">
        <f aca="false">C8/B8</f>
        <v>0.947976878612717</v>
      </c>
    </row>
    <row r="9" customFormat="false" ht="15" hidden="false" customHeight="false" outlineLevel="0" collapsed="false">
      <c r="A9" s="0" t="s">
        <v>11</v>
      </c>
      <c r="B9" s="0" t="n">
        <v>180</v>
      </c>
      <c r="C9" s="0" t="n">
        <v>203</v>
      </c>
      <c r="D9" s="0" t="n">
        <f aca="false">C9-B9</f>
        <v>23</v>
      </c>
      <c r="E9" s="7" t="n">
        <f aca="false">C9/B9</f>
        <v>1.12777777777778</v>
      </c>
    </row>
    <row r="10" customFormat="false" ht="15" hidden="false" customHeight="false" outlineLevel="0" collapsed="false">
      <c r="A10" s="0" t="s">
        <v>12</v>
      </c>
      <c r="B10" s="0" t="s">
        <v>13</v>
      </c>
      <c r="C10" s="0" t="s">
        <v>14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1" customFormat="false" ht="17.35" hidden="false" customHeight="false" outlineLevel="0" collapsed="false">
      <c r="A1" s="8" t="s">
        <v>15</v>
      </c>
      <c r="B1" s="8"/>
      <c r="C1" s="8"/>
      <c r="D1" s="8"/>
      <c r="E1" s="8"/>
      <c r="F1" s="8"/>
      <c r="G1" s="8"/>
    </row>
    <row r="3" customFormat="false" ht="15" hidden="false" customHeight="false" outlineLevel="0" collapsed="false">
      <c r="A3" s="9" t="s">
        <v>16</v>
      </c>
      <c r="B3" s="9" t="s">
        <v>17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22</v>
      </c>
      <c r="H3" s="9" t="s">
        <v>23</v>
      </c>
      <c r="I3" s="9" t="s">
        <v>24</v>
      </c>
      <c r="J3" s="9" t="s">
        <v>6</v>
      </c>
      <c r="K3" s="9" t="s">
        <v>25</v>
      </c>
    </row>
    <row r="4" customFormat="false" ht="15" hidden="false" customHeight="false" outlineLevel="0" collapsed="false">
      <c r="A4" s="0" t="s">
        <v>26</v>
      </c>
      <c r="B4" s="5" t="n">
        <v>28000</v>
      </c>
      <c r="C4" s="5" t="n">
        <v>31200</v>
      </c>
      <c r="D4" s="5" t="n">
        <v>22000</v>
      </c>
      <c r="E4" s="5" t="n">
        <v>19800</v>
      </c>
      <c r="F4" s="5" t="n">
        <v>35000</v>
      </c>
      <c r="G4" s="5" t="n">
        <v>38500</v>
      </c>
      <c r="H4" s="6" t="n">
        <f aca="false">B4+D4+F4</f>
        <v>85000</v>
      </c>
      <c r="I4" s="6" t="n">
        <f aca="false">C4+E4+G4</f>
        <v>89500</v>
      </c>
      <c r="J4" s="6" t="n">
        <f aca="false">I4-H4</f>
        <v>4500</v>
      </c>
      <c r="K4" s="7" t="n">
        <f aca="false">I4/H4</f>
        <v>1.05294117647059</v>
      </c>
    </row>
    <row r="5" customFormat="false" ht="15" hidden="false" customHeight="false" outlineLevel="0" collapsed="false">
      <c r="A5" s="0" t="s">
        <v>27</v>
      </c>
      <c r="B5" s="5" t="n">
        <v>45000</v>
      </c>
      <c r="C5" s="5" t="n">
        <v>42100</v>
      </c>
      <c r="D5" s="5" t="n">
        <v>38000</v>
      </c>
      <c r="E5" s="5" t="n">
        <v>35600</v>
      </c>
      <c r="F5" s="5" t="n">
        <v>52000</v>
      </c>
      <c r="G5" s="5" t="n">
        <v>58700</v>
      </c>
      <c r="H5" s="6" t="n">
        <f aca="false">B5+D5+F5</f>
        <v>135000</v>
      </c>
      <c r="I5" s="6" t="n">
        <f aca="false">C5+E5+G5</f>
        <v>136400</v>
      </c>
      <c r="J5" s="6" t="n">
        <f aca="false">I5-H5</f>
        <v>1400</v>
      </c>
      <c r="K5" s="7" t="n">
        <f aca="false">I5/H5</f>
        <v>1.01037037037037</v>
      </c>
    </row>
    <row r="6" customFormat="false" ht="15" hidden="false" customHeight="false" outlineLevel="0" collapsed="false">
      <c r="A6" s="0" t="s">
        <v>28</v>
      </c>
      <c r="B6" s="5" t="n">
        <v>18000</v>
      </c>
      <c r="C6" s="5" t="n">
        <v>21500</v>
      </c>
      <c r="D6" s="5" t="n">
        <v>15000</v>
      </c>
      <c r="E6" s="5" t="n">
        <v>17200</v>
      </c>
      <c r="F6" s="5" t="n">
        <v>22000</v>
      </c>
      <c r="G6" s="5" t="n">
        <v>24800</v>
      </c>
      <c r="H6" s="6" t="n">
        <f aca="false">B6+D6+F6</f>
        <v>55000</v>
      </c>
      <c r="I6" s="6" t="n">
        <f aca="false">C6+E6+G6</f>
        <v>63500</v>
      </c>
      <c r="J6" s="6" t="n">
        <f aca="false">I6-H6</f>
        <v>8500</v>
      </c>
      <c r="K6" s="7" t="n">
        <f aca="false">I6/H6</f>
        <v>1.15454545454545</v>
      </c>
    </row>
    <row r="7" customFormat="false" ht="15" hidden="false" customHeight="false" outlineLevel="0" collapsed="false">
      <c r="A7" s="0" t="s">
        <v>29</v>
      </c>
      <c r="B7" s="5" t="n">
        <v>12000</v>
      </c>
      <c r="C7" s="5" t="n">
        <v>13800</v>
      </c>
      <c r="D7" s="5" t="n">
        <v>25000</v>
      </c>
      <c r="E7" s="5" t="n">
        <v>28400</v>
      </c>
      <c r="F7" s="5" t="n">
        <v>15000</v>
      </c>
      <c r="G7" s="5" t="n">
        <v>16200</v>
      </c>
      <c r="H7" s="6" t="n">
        <f aca="false">B7+D7+F7</f>
        <v>52000</v>
      </c>
      <c r="I7" s="6" t="n">
        <f aca="false">C7+E7+G7</f>
        <v>58400</v>
      </c>
      <c r="J7" s="6" t="n">
        <f aca="false">I7-H7</f>
        <v>6400</v>
      </c>
      <c r="K7" s="7" t="n">
        <f aca="false">I7/H7</f>
        <v>1.12307692307692</v>
      </c>
    </row>
    <row r="8" customFormat="false" ht="15" hidden="false" customHeight="false" outlineLevel="0" collapsed="false">
      <c r="A8" s="0" t="s">
        <v>30</v>
      </c>
      <c r="B8" s="5" t="n">
        <v>8000</v>
      </c>
      <c r="C8" s="5" t="n">
        <v>9200</v>
      </c>
      <c r="D8" s="5" t="n">
        <v>7000</v>
      </c>
      <c r="E8" s="5" t="n">
        <v>8100</v>
      </c>
      <c r="F8" s="5" t="n">
        <v>10000</v>
      </c>
      <c r="G8" s="5" t="n">
        <v>11500</v>
      </c>
      <c r="H8" s="6" t="n">
        <f aca="false">B8+D8+F8</f>
        <v>25000</v>
      </c>
      <c r="I8" s="6" t="n">
        <f aca="false">C8+E8+G8</f>
        <v>28800</v>
      </c>
      <c r="J8" s="6" t="n">
        <f aca="false">I8-H8</f>
        <v>3800</v>
      </c>
      <c r="K8" s="7" t="n">
        <f aca="false">I8/H8</f>
        <v>1.152</v>
      </c>
    </row>
    <row r="9" customFormat="false" ht="15" hidden="false" customHeight="false" outlineLevel="0" collapsed="false">
      <c r="A9" s="0" t="s">
        <v>31</v>
      </c>
      <c r="B9" s="5" t="n">
        <v>22000</v>
      </c>
      <c r="C9" s="5" t="n">
        <v>18900</v>
      </c>
      <c r="D9" s="5" t="n">
        <v>18000</v>
      </c>
      <c r="E9" s="5" t="n">
        <v>21200</v>
      </c>
      <c r="F9" s="5" t="n">
        <v>28000</v>
      </c>
      <c r="G9" s="5" t="n">
        <v>25400</v>
      </c>
      <c r="H9" s="6" t="n">
        <f aca="false">B9+D9+F9</f>
        <v>68000</v>
      </c>
      <c r="I9" s="6" t="n">
        <f aca="false">C9+E9+G9</f>
        <v>65500</v>
      </c>
      <c r="J9" s="6" t="n">
        <f aca="false">I9-H9</f>
        <v>-2500</v>
      </c>
      <c r="K9" s="7" t="n">
        <f aca="false">I9/H9</f>
        <v>0.963235294117647</v>
      </c>
    </row>
    <row r="10" customFormat="false" ht="15" hidden="false" customHeight="false" outlineLevel="0" collapsed="false">
      <c r="A10" s="10" t="s">
        <v>32</v>
      </c>
      <c r="B10" s="10" t="n">
        <f aca="false">SUM(B4:B9)</f>
        <v>133000</v>
      </c>
      <c r="C10" s="10" t="n">
        <f aca="false">SUM(C4:C9)</f>
        <v>136700</v>
      </c>
      <c r="D10" s="10" t="n">
        <f aca="false">SUM(D4:D9)</f>
        <v>125000</v>
      </c>
      <c r="E10" s="10" t="n">
        <f aca="false">SUM(E4:E9)</f>
        <v>130300</v>
      </c>
      <c r="F10" s="10" t="n">
        <f aca="false">SUM(F4:F9)</f>
        <v>162000</v>
      </c>
      <c r="G10" s="10" t="n">
        <f aca="false">SUM(G4:G9)</f>
        <v>175100</v>
      </c>
      <c r="H10" s="10" t="n">
        <f aca="false">SUM(H4:H9)</f>
        <v>420000</v>
      </c>
      <c r="I10" s="10" t="n">
        <f aca="false">SUM(I4:I9)</f>
        <v>442100</v>
      </c>
      <c r="J10" s="10" t="n">
        <f aca="false">I10-H10</f>
        <v>22100</v>
      </c>
      <c r="K10" s="11" t="n">
        <f aca="false">I10/H10</f>
        <v>1.05261904761905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1" customFormat="false" ht="17.35" hidden="false" customHeight="false" outlineLevel="0" collapsed="false">
      <c r="A1" s="12" t="s">
        <v>33</v>
      </c>
    </row>
    <row r="3" customFormat="false" ht="15" hidden="false" customHeight="false" outlineLevel="0" collapsed="false">
      <c r="A3" s="13" t="s">
        <v>34</v>
      </c>
      <c r="B3" s="13" t="s">
        <v>35</v>
      </c>
      <c r="C3" s="13" t="s">
        <v>36</v>
      </c>
      <c r="D3" s="13" t="s">
        <v>37</v>
      </c>
      <c r="E3" s="13" t="s">
        <v>38</v>
      </c>
    </row>
    <row r="4" customFormat="false" ht="15" hidden="false" customHeight="false" outlineLevel="0" collapsed="false">
      <c r="A4" s="0" t="s">
        <v>39</v>
      </c>
      <c r="B4" s="5" t="n">
        <v>125000</v>
      </c>
      <c r="C4" s="5" t="n">
        <v>136700</v>
      </c>
      <c r="D4" s="6" t="n">
        <f aca="false">C4-B4</f>
        <v>11700</v>
      </c>
      <c r="E4" s="7" t="n">
        <f aca="false">(C4-B4)/B4</f>
        <v>0.0936</v>
      </c>
    </row>
    <row r="5" customFormat="false" ht="15" hidden="false" customHeight="false" outlineLevel="0" collapsed="false">
      <c r="A5" s="0" t="s">
        <v>40</v>
      </c>
      <c r="B5" s="5" t="n">
        <v>118000</v>
      </c>
      <c r="C5" s="5" t="n">
        <v>130300</v>
      </c>
      <c r="D5" s="6" t="n">
        <f aca="false">C5-B5</f>
        <v>12300</v>
      </c>
      <c r="E5" s="7" t="n">
        <f aca="false">(C5-B5)/B5</f>
        <v>0.104237288135593</v>
      </c>
    </row>
    <row r="6" customFormat="false" ht="15" hidden="false" customHeight="false" outlineLevel="0" collapsed="false">
      <c r="A6" s="0" t="s">
        <v>41</v>
      </c>
      <c r="B6" s="5" t="n">
        <v>145000</v>
      </c>
      <c r="C6" s="5" t="n">
        <v>175340</v>
      </c>
      <c r="D6" s="6" t="n">
        <f aca="false">C6-B6</f>
        <v>30340</v>
      </c>
      <c r="E6" s="7" t="n">
        <f aca="false">(C6-B6)/B6</f>
        <v>0.209241379310345</v>
      </c>
    </row>
    <row r="7" customFormat="false" ht="15" hidden="false" customHeight="false" outlineLevel="0" collapsed="false">
      <c r="A7" s="10" t="s">
        <v>42</v>
      </c>
      <c r="B7" s="10" t="n">
        <f aca="false">SUM(B4:B6)</f>
        <v>388000</v>
      </c>
      <c r="C7" s="10" t="n">
        <f aca="false">SUM(C4:C6)</f>
        <v>442340</v>
      </c>
      <c r="D7" s="10" t="n">
        <f aca="false">C7-B7</f>
        <v>54340</v>
      </c>
      <c r="E7" s="11" t="n">
        <f aca="false">(C7-B7)/B7</f>
        <v>0.140051546391753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1" min="1" style="0" width="15"/>
  </cols>
  <sheetData>
    <row r="1" customFormat="false" ht="17.35" hidden="false" customHeight="false" outlineLevel="0" collapsed="false">
      <c r="A1" s="12" t="s">
        <v>43</v>
      </c>
    </row>
    <row r="3" customFormat="false" ht="15" hidden="false" customHeight="false" outlineLevel="0" collapsed="false">
      <c r="A3" s="14" t="s">
        <v>44</v>
      </c>
      <c r="B3" s="14" t="s">
        <v>45</v>
      </c>
      <c r="C3" s="14" t="s">
        <v>46</v>
      </c>
      <c r="D3" s="14" t="s">
        <v>9</v>
      </c>
      <c r="E3" s="14" t="s">
        <v>47</v>
      </c>
      <c r="F3" s="14" t="s">
        <v>48</v>
      </c>
    </row>
    <row r="4" customFormat="false" ht="15" hidden="false" customHeight="false" outlineLevel="0" collapsed="false">
      <c r="A4" s="0" t="n">
        <v>1</v>
      </c>
      <c r="B4" s="0" t="s">
        <v>49</v>
      </c>
      <c r="C4" s="5" t="n">
        <v>45200</v>
      </c>
      <c r="D4" s="0" t="n">
        <v>28</v>
      </c>
      <c r="E4" s="15" t="n">
        <f aca="false">C4/D4</f>
        <v>1614.28571428571</v>
      </c>
      <c r="F4" s="6" t="s">
        <v>50</v>
      </c>
    </row>
    <row r="5" customFormat="false" ht="15" hidden="false" customHeight="false" outlineLevel="0" collapsed="false">
      <c r="A5" s="0" t="n">
        <v>2</v>
      </c>
      <c r="B5" s="0" t="s">
        <v>51</v>
      </c>
      <c r="C5" s="5" t="n">
        <v>38700</v>
      </c>
      <c r="D5" s="0" t="n">
        <v>45</v>
      </c>
      <c r="E5" s="15" t="n">
        <f aca="false">C5/D5</f>
        <v>860</v>
      </c>
      <c r="F5" s="6" t="s">
        <v>52</v>
      </c>
    </row>
    <row r="6" customFormat="false" ht="15" hidden="false" customHeight="false" outlineLevel="0" collapsed="false">
      <c r="A6" s="0" t="n">
        <v>3</v>
      </c>
      <c r="B6" s="0" t="s">
        <v>53</v>
      </c>
      <c r="C6" s="5" t="n">
        <v>31500</v>
      </c>
      <c r="D6" s="0" t="n">
        <v>22</v>
      </c>
      <c r="E6" s="15" t="n">
        <f aca="false">C6/D6</f>
        <v>1431.81818181818</v>
      </c>
      <c r="F6" s="6" t="s">
        <v>54</v>
      </c>
    </row>
    <row r="7" customFormat="false" ht="15" hidden="false" customHeight="false" outlineLevel="0" collapsed="false">
      <c r="A7" s="0" t="n">
        <v>4</v>
      </c>
      <c r="B7" s="0" t="s">
        <v>55</v>
      </c>
      <c r="C7" s="5" t="n">
        <v>28900</v>
      </c>
      <c r="D7" s="0" t="n">
        <v>38</v>
      </c>
      <c r="E7" s="15" t="n">
        <f aca="false">C7/D7</f>
        <v>760.526315789474</v>
      </c>
      <c r="F7" s="6" t="s">
        <v>56</v>
      </c>
    </row>
    <row r="8" customFormat="false" ht="15" hidden="false" customHeight="false" outlineLevel="0" collapsed="false">
      <c r="A8" s="0" t="n">
        <v>5</v>
      </c>
      <c r="B8" s="0" t="s">
        <v>57</v>
      </c>
      <c r="C8" s="5" t="n">
        <v>24600</v>
      </c>
      <c r="D8" s="0" t="n">
        <v>31</v>
      </c>
      <c r="E8" s="15" t="n">
        <f aca="false">C8/D8</f>
        <v>793.548387096774</v>
      </c>
      <c r="F8" s="6" t="s">
        <v>58</v>
      </c>
    </row>
    <row r="9" customFormat="false" ht="15" hidden="false" customHeight="false" outlineLevel="0" collapsed="false">
      <c r="A9" s="0" t="n">
        <v>6</v>
      </c>
      <c r="B9" s="0" t="s">
        <v>59</v>
      </c>
      <c r="C9" s="5" t="n">
        <v>22100</v>
      </c>
      <c r="D9" s="0" t="n">
        <v>18</v>
      </c>
      <c r="E9" s="15" t="n">
        <f aca="false">C9/D9</f>
        <v>1227.77777777778</v>
      </c>
      <c r="F9" s="6" t="s">
        <v>60</v>
      </c>
    </row>
    <row r="10" customFormat="false" ht="15" hidden="false" customHeight="false" outlineLevel="0" collapsed="false">
      <c r="A10" s="0" t="n">
        <v>7</v>
      </c>
      <c r="B10" s="0" t="s">
        <v>61</v>
      </c>
      <c r="C10" s="5" t="n">
        <v>19800</v>
      </c>
      <c r="D10" s="0" t="n">
        <v>25</v>
      </c>
      <c r="E10" s="15" t="n">
        <f aca="false">C10/D10</f>
        <v>792</v>
      </c>
      <c r="F10" s="6" t="s">
        <v>62</v>
      </c>
    </row>
    <row r="11" customFormat="false" ht="15" hidden="false" customHeight="false" outlineLevel="0" collapsed="false">
      <c r="A11" s="0" t="n">
        <v>8</v>
      </c>
      <c r="B11" s="0" t="s">
        <v>63</v>
      </c>
      <c r="C11" s="5" t="n">
        <v>17500</v>
      </c>
      <c r="D11" s="0" t="n">
        <v>15</v>
      </c>
      <c r="E11" s="15" t="n">
        <f aca="false">C11/D11</f>
        <v>1166.66666666667</v>
      </c>
      <c r="F11" s="6" t="s">
        <v>64</v>
      </c>
    </row>
    <row r="12" customFormat="false" ht="15" hidden="false" customHeight="false" outlineLevel="0" collapsed="false">
      <c r="A12" s="0" t="n">
        <v>9</v>
      </c>
      <c r="B12" s="0" t="s">
        <v>65</v>
      </c>
      <c r="C12" s="5" t="n">
        <v>15200</v>
      </c>
      <c r="D12" s="0" t="n">
        <v>12</v>
      </c>
      <c r="E12" s="15" t="n">
        <f aca="false">C12/D12</f>
        <v>1266.66666666667</v>
      </c>
      <c r="F12" s="6" t="s">
        <v>66</v>
      </c>
    </row>
    <row r="13" customFormat="false" ht="15" hidden="false" customHeight="false" outlineLevel="0" collapsed="false">
      <c r="A13" s="0" t="n">
        <v>10</v>
      </c>
      <c r="B13" s="0" t="s">
        <v>67</v>
      </c>
      <c r="C13" s="5" t="n">
        <v>14300</v>
      </c>
      <c r="D13" s="0" t="n">
        <v>19</v>
      </c>
      <c r="E13" s="15" t="n">
        <f aca="false">C13/D13</f>
        <v>752.631578947368</v>
      </c>
      <c r="F13" s="6" t="s">
        <v>68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</cols>
  <sheetData>
    <row r="1" customFormat="false" ht="17.35" hidden="false" customHeight="false" outlineLevel="0" collapsed="false">
      <c r="A1" s="8" t="s">
        <v>69</v>
      </c>
      <c r="B1" s="8"/>
      <c r="C1" s="8"/>
    </row>
    <row r="3" customFormat="false" ht="15" hidden="false" customHeight="false" outlineLevel="0" collapsed="false">
      <c r="A3" s="10" t="s">
        <v>70</v>
      </c>
    </row>
    <row r="4" customFormat="false" ht="15" hidden="false" customHeight="false" outlineLevel="0" collapsed="false">
      <c r="A4" s="0" t="s">
        <v>71</v>
      </c>
    </row>
    <row r="5" customFormat="false" ht="15" hidden="false" customHeight="false" outlineLevel="0" collapsed="false">
      <c r="A5" s="0" t="s">
        <v>72</v>
      </c>
    </row>
    <row r="6" customFormat="false" ht="15" hidden="false" customHeight="false" outlineLevel="0" collapsed="false">
      <c r="A6" s="0" t="s">
        <v>73</v>
      </c>
    </row>
    <row r="7" customFormat="false" ht="15" hidden="false" customHeight="false" outlineLevel="0" collapsed="false">
      <c r="A7" s="0" t="s">
        <v>74</v>
      </c>
    </row>
    <row r="9" customFormat="false" ht="15" hidden="false" customHeight="false" outlineLevel="0" collapsed="false">
      <c r="A9" s="10" t="s">
        <v>75</v>
      </c>
    </row>
    <row r="10" customFormat="false" ht="15" hidden="false" customHeight="false" outlineLevel="0" collapsed="false">
      <c r="A10" s="0" t="s">
        <v>76</v>
      </c>
    </row>
    <row r="11" customFormat="false" ht="15" hidden="false" customHeight="false" outlineLevel="0" collapsed="false">
      <c r="A11" s="0" t="s">
        <v>77</v>
      </c>
    </row>
    <row r="12" customFormat="false" ht="15" hidden="false" customHeight="false" outlineLevel="0" collapsed="false">
      <c r="A12" s="0" t="s">
        <v>78</v>
      </c>
    </row>
    <row r="13" customFormat="false" ht="15" hidden="false" customHeight="false" outlineLevel="0" collapsed="false">
      <c r="A13" s="0" t="s">
        <v>79</v>
      </c>
    </row>
    <row r="15" customFormat="false" ht="15" hidden="false" customHeight="false" outlineLevel="0" collapsed="false">
      <c r="A15" s="10" t="s">
        <v>80</v>
      </c>
    </row>
    <row r="16" customFormat="false" ht="15" hidden="false" customHeight="false" outlineLevel="0" collapsed="false">
      <c r="A16" s="0" t="s">
        <v>81</v>
      </c>
    </row>
    <row r="17" customFormat="false" ht="15" hidden="false" customHeight="false" outlineLevel="0" collapsed="false">
      <c r="A17" s="0" t="s">
        <v>82</v>
      </c>
    </row>
    <row r="18" customFormat="false" ht="15" hidden="false" customHeight="false" outlineLevel="0" collapsed="false">
      <c r="A18" s="0" t="s">
        <v>83</v>
      </c>
    </row>
    <row r="20" customFormat="false" ht="15" hidden="false" customHeight="false" outlineLevel="0" collapsed="false">
      <c r="A20" s="10" t="s">
        <v>84</v>
      </c>
    </row>
    <row r="21" customFormat="false" ht="15" hidden="false" customHeight="false" outlineLevel="0" collapsed="false">
      <c r="A21" s="0" t="s">
        <v>85</v>
      </c>
    </row>
    <row r="22" customFormat="false" ht="15" hidden="false" customHeight="false" outlineLevel="0" collapsed="false">
      <c r="A22" s="0" t="s">
        <v>86</v>
      </c>
    </row>
    <row r="23" customFormat="false" ht="15" hidden="false" customHeight="false" outlineLevel="0" collapsed="false">
      <c r="A23" s="0" t="s">
        <v>87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2025-12-24T16:45:14Z</dcterms:created>
  <dc:creator>openpyxl</dc:creator>
  <dc:description/>
  <dc:language>en-US</dc:language>
  <cp:lastModifiedBy/>
  <dcterms:modified xsi:type="dcterms:W3CDTF">2025-12-24T16:45:14Z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